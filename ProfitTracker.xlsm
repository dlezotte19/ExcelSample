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226" codeName="{00000000-0000-0000-0000-000000000000}"/>
  <workbookPr showInkAnnotation="0" codeName="ThisWorkbook" autoCompressPictures="0"/>
  <bookViews>
    <workbookView xWindow="0" yWindow="-20" windowWidth="25600" windowHeight="15520" tabRatio="500"/>
  </bookViews>
  <sheets>
    <sheet name="Sheet1" sheetId="1" r:id="rId1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13" i="1" l="1"/>
  <c r="H7" i="1"/>
  <c r="D9" i="1"/>
  <c r="H9" i="1"/>
  <c r="H5" i="1"/>
  <c r="H6" i="1"/>
  <c r="H8" i="1"/>
  <c r="H10" i="1"/>
  <c r="J4" i="1"/>
  <c r="M8" i="1"/>
</calcChain>
</file>

<file path=xl/sharedStrings.xml><?xml version="1.0" encoding="utf-8"?>
<sst xmlns="http://schemas.openxmlformats.org/spreadsheetml/2006/main" count="33" uniqueCount="25">
  <si>
    <t>Daily Profits for the Snack Shack</t>
  </si>
  <si>
    <t>Item</t>
  </si>
  <si>
    <t>Cost</t>
  </si>
  <si>
    <t>Price</t>
  </si>
  <si>
    <t>Profit</t>
  </si>
  <si>
    <t>Burger</t>
  </si>
  <si>
    <t>Fries</t>
  </si>
  <si>
    <t>Milkshake</t>
  </si>
  <si>
    <t>Soda</t>
  </si>
  <si>
    <t>Sold</t>
  </si>
  <si>
    <t>Combo Meal</t>
  </si>
  <si>
    <t>Total Profits</t>
  </si>
  <si>
    <t>Future item</t>
  </si>
  <si>
    <t>Total Hours worked by employees:</t>
  </si>
  <si>
    <t>Pay per hour for employees</t>
  </si>
  <si>
    <t>Week</t>
  </si>
  <si>
    <t>Sunday</t>
  </si>
  <si>
    <t>Monday</t>
  </si>
  <si>
    <t>Tuesday</t>
  </si>
  <si>
    <t>Wednesday</t>
  </si>
  <si>
    <t>Thursday</t>
  </si>
  <si>
    <t>Friday</t>
  </si>
  <si>
    <t>Saturday</t>
  </si>
  <si>
    <t>Day</t>
  </si>
  <si>
    <t>Weekly Profits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</si>
</sst>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theme="0"/>
      <name val="Calibri"/>
      <family val="2"/>
      <scheme val="minor"/>
    </font>
    <font>
      <sz val="22"/>
      <color theme="1"/>
      <name val="Calibri"/>
      <scheme val="minor"/>
    </font>
    <font>
      <b/>
      <sz val="14"/>
      <color theme="1"/>
      <name val="Calibri"/>
      <scheme val="minor"/>
    </font>
    <font>
      <sz val="10"/>
      <name val="Geneva"/>
    </font>
    <font>
      <sz val="12"/>
      <name val="Calibri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6"/>
      <color theme="1"/>
      <name val="Calibri"/>
      <scheme val="minor"/>
    </font>
    <font>
      <b/>
      <sz val="16"/>
      <color indexed="72"/>
      <name val="Times New Roman"/>
    </font>
    <font>
      <sz val="6"/>
      <color theme="0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35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</cellStyleXfs>
  <cellXfs count="68">
    <xf numFmtId="0" fontId="0" fillId="0" borderId="0" xfId="0"/>
    <xf numFmtId="0" fontId="0" fillId="0" borderId="0" xfId="0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44" fontId="0" fillId="0" borderId="0" xfId="1" applyFont="1"/>
    <xf numFmtId="0" fontId="0" fillId="0" borderId="0" xfId="1" applyNumberFormat="1" applyFont="1"/>
    <xf numFmtId="0" fontId="0" fillId="0" borderId="0" xfId="0" applyNumberFormat="1"/>
    <xf numFmtId="0" fontId="3" fillId="0" borderId="0" xfId="0" applyFont="1"/>
    <xf numFmtId="44" fontId="0" fillId="0" borderId="9" xfId="1" applyFont="1" applyBorder="1"/>
    <xf numFmtId="0" fontId="5" fillId="0" borderId="4" xfId="0" applyFont="1" applyBorder="1" applyAlignment="1"/>
    <xf numFmtId="0" fontId="5" fillId="0" borderId="1" xfId="0" applyFont="1" applyBorder="1"/>
    <xf numFmtId="0" fontId="0" fillId="0" borderId="10" xfId="0" applyBorder="1"/>
    <xf numFmtId="44" fontId="0" fillId="0" borderId="10" xfId="1" applyFont="1" applyBorder="1"/>
    <xf numFmtId="0" fontId="5" fillId="0" borderId="2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0" fillId="0" borderId="7" xfId="1" applyNumberFormat="1" applyFont="1" applyBorder="1"/>
    <xf numFmtId="0" fontId="0" fillId="0" borderId="9" xfId="0" applyBorder="1"/>
    <xf numFmtId="0" fontId="0" fillId="0" borderId="13" xfId="0" applyBorder="1"/>
    <xf numFmtId="44" fontId="0" fillId="0" borderId="13" xfId="1" applyFont="1" applyBorder="1"/>
    <xf numFmtId="0" fontId="0" fillId="0" borderId="14" xfId="1" applyNumberFormat="1" applyFont="1" applyBorder="1"/>
    <xf numFmtId="0" fontId="0" fillId="0" borderId="15" xfId="0" applyBorder="1"/>
    <xf numFmtId="44" fontId="0" fillId="0" borderId="15" xfId="1" applyFont="1" applyBorder="1"/>
    <xf numFmtId="0" fontId="0" fillId="0" borderId="11" xfId="0" applyBorder="1"/>
    <xf numFmtId="44" fontId="0" fillId="0" borderId="11" xfId="1" applyFont="1" applyBorder="1"/>
    <xf numFmtId="0" fontId="0" fillId="0" borderId="16" xfId="1" applyNumberFormat="1" applyFont="1" applyBorder="1"/>
    <xf numFmtId="0" fontId="0" fillId="0" borderId="17" xfId="0" applyBorder="1"/>
    <xf numFmtId="44" fontId="0" fillId="0" borderId="17" xfId="1" applyFont="1" applyBorder="1"/>
    <xf numFmtId="0" fontId="0" fillId="0" borderId="18" xfId="0" applyBorder="1"/>
    <xf numFmtId="44" fontId="0" fillId="0" borderId="18" xfId="1" applyFont="1" applyBorder="1"/>
    <xf numFmtId="0" fontId="0" fillId="0" borderId="19" xfId="1" applyNumberFormat="1" applyFont="1" applyBorder="1"/>
    <xf numFmtId="0" fontId="0" fillId="0" borderId="20" xfId="0" applyBorder="1"/>
    <xf numFmtId="44" fontId="0" fillId="0" borderId="20" xfId="1" applyFont="1" applyBorder="1"/>
    <xf numFmtId="0" fontId="10" fillId="0" borderId="5" xfId="0" applyFont="1" applyBorder="1" applyAlignment="1">
      <alignment horizontal="center"/>
    </xf>
    <xf numFmtId="0" fontId="10" fillId="0" borderId="6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0" fillId="0" borderId="8" xfId="0" applyBorder="1" applyAlignment="1">
      <alignment horizontal="center"/>
    </xf>
    <xf numFmtId="44" fontId="0" fillId="0" borderId="9" xfId="0" applyNumberFormat="1" applyBorder="1"/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44" fontId="7" fillId="0" borderId="23" xfId="1" applyFont="1" applyBorder="1"/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/>
    <xf numFmtId="0" fontId="0" fillId="0" borderId="26" xfId="0" applyBorder="1"/>
    <xf numFmtId="44" fontId="0" fillId="0" borderId="26" xfId="1" applyFont="1" applyBorder="1"/>
    <xf numFmtId="0" fontId="0" fillId="0" borderId="26" xfId="1" applyNumberFormat="1" applyFont="1" applyBorder="1"/>
    <xf numFmtId="0" fontId="0" fillId="0" borderId="26" xfId="0" applyNumberFormat="1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44" fontId="0" fillId="0" borderId="31" xfId="1" applyFont="1" applyBorder="1"/>
    <xf numFmtId="0" fontId="0" fillId="0" borderId="31" xfId="1" applyNumberFormat="1" applyFont="1" applyBorder="1"/>
    <xf numFmtId="44" fontId="0" fillId="0" borderId="32" xfId="1" applyFont="1" applyBorder="1"/>
    <xf numFmtId="0" fontId="0" fillId="0" borderId="33" xfId="0" applyBorder="1"/>
    <xf numFmtId="0" fontId="0" fillId="0" borderId="24" xfId="0" applyBorder="1"/>
    <xf numFmtId="0" fontId="0" fillId="0" borderId="24" xfId="0" applyNumberFormat="1" applyBorder="1"/>
    <xf numFmtId="44" fontId="0" fillId="0" borderId="24" xfId="1" applyFont="1" applyBorder="1"/>
    <xf numFmtId="0" fontId="0" fillId="0" borderId="34" xfId="0" applyBorder="1"/>
    <xf numFmtId="0" fontId="0" fillId="0" borderId="10" xfId="0" applyBorder="1" applyAlignment="1">
      <alignment horizontal="center"/>
    </xf>
    <xf numFmtId="44" fontId="2" fillId="2" borderId="2" xfId="2" applyNumberFormat="1" applyBorder="1" applyAlignment="1">
      <alignment horizontal="left"/>
    </xf>
    <xf numFmtId="44" fontId="2" fillId="2" borderId="4" xfId="2" applyNumberFormat="1" applyBorder="1" applyAlignment="1">
      <alignment horizontal="left"/>
    </xf>
    <xf numFmtId="0" fontId="10" fillId="0" borderId="2" xfId="0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0" fontId="12" fillId="0" borderId="0" xfId="0" applyFont="1"/>
  </cellXfs>
  <cellStyles count="5">
    <cellStyle name="Bad" xfId="2" builtinId="27"/>
    <cellStyle name="Currency" xfId="1" builtinId="4"/>
    <cellStyle name="Followed Hyperlink" xfId="4" builtinId="9" hidden="1"/>
    <cellStyle name="Hyperlink" xfId="3" builtinId="8" hidden="1"/>
    <cellStyle name="Normal" xfId="0" builtinId="0"/>
  </cellStyles>
  <dxfs count="21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Spin" dx="16" fmlaLink="$F$5" max="30000" page="10" val="48"/>
</file>

<file path=xl/ctrlProps/ctrlProp2.xml><?xml version="1.0" encoding="utf-8"?>
<formControlPr xmlns="http://schemas.microsoft.com/office/spreadsheetml/2009/9/main" objectType="Spin" dx="0" fmlaLink="$F$6" max="3000" page="0" val="28"/>
</file>

<file path=xl/ctrlProps/ctrlProp3.xml><?xml version="1.0" encoding="utf-8"?>
<formControlPr xmlns="http://schemas.microsoft.com/office/spreadsheetml/2009/9/main" objectType="Spin" dx="0" fmlaLink="$F$7" max="30000" page="0" val="22"/>
</file>

<file path=xl/ctrlProps/ctrlProp4.xml><?xml version="1.0" encoding="utf-8"?>
<formControlPr xmlns="http://schemas.microsoft.com/office/spreadsheetml/2009/9/main" objectType="Spin" dx="0" fmlaLink="$F$8" max="30000" page="0" val="42"/>
</file>

<file path=xl/ctrlProps/ctrlProp5.xml><?xml version="1.0" encoding="utf-8"?>
<formControlPr xmlns="http://schemas.microsoft.com/office/spreadsheetml/2009/9/main" objectType="Spin" dx="0" fmlaLink="$F$9" max="30000" page="0" val="33"/>
</file>

<file path=xl/ctrlProps/ctrlProp6.xml><?xml version="1.0" encoding="utf-8"?>
<formControlPr xmlns="http://schemas.microsoft.com/office/spreadsheetml/2009/9/main" objectType="Spin" dx="0" fmlaLink="$F$10" max="30000" page="0" val="0"/>
</file>

<file path=xl/ctrlProps/ctrlProp7.xml><?xml version="1.0" encoding="utf-8"?>
<formControlPr xmlns="http://schemas.microsoft.com/office/spreadsheetml/2009/9/main" objectType="CheckBox" checked="Checked" fmlaLink="$L$9" lockText="1" noThreeD="1"/>
</file>

<file path=xl/ctrlProps/ctrlProp8.xml><?xml version="1.0" encoding="utf-8"?>
<formControlPr xmlns="http://schemas.microsoft.com/office/spreadsheetml/2009/9/main" objectType="Drop" dropLines="62" dropStyle="combo" dx="16" fmlaLink="$A$11" fmlaRange="$A$1:$A$7" sel="2" val="0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4</xdr:row>
          <xdr:rowOff>50800</xdr:rowOff>
        </xdr:from>
        <xdr:to>
          <xdr:col>6</xdr:col>
          <xdr:colOff>774700</xdr:colOff>
          <xdr:row>4</xdr:row>
          <xdr:rowOff>419100</xdr:rowOff>
        </xdr:to>
        <xdr:sp macro="" textlink="">
          <xdr:nvSpPr>
            <xdr:cNvPr id="1030" name="Spinner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5</xdr:row>
          <xdr:rowOff>50800</xdr:rowOff>
        </xdr:from>
        <xdr:to>
          <xdr:col>6</xdr:col>
          <xdr:colOff>774700</xdr:colOff>
          <xdr:row>5</xdr:row>
          <xdr:rowOff>419100</xdr:rowOff>
        </xdr:to>
        <xdr:sp macro="" textlink="">
          <xdr:nvSpPr>
            <xdr:cNvPr id="1031" name="Spinner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6</xdr:row>
          <xdr:rowOff>50800</xdr:rowOff>
        </xdr:from>
        <xdr:to>
          <xdr:col>6</xdr:col>
          <xdr:colOff>774700</xdr:colOff>
          <xdr:row>6</xdr:row>
          <xdr:rowOff>419100</xdr:rowOff>
        </xdr:to>
        <xdr:sp macro="" textlink="">
          <xdr:nvSpPr>
            <xdr:cNvPr id="1032" name="Spinner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7</xdr:row>
          <xdr:rowOff>50800</xdr:rowOff>
        </xdr:from>
        <xdr:to>
          <xdr:col>6</xdr:col>
          <xdr:colOff>774700</xdr:colOff>
          <xdr:row>7</xdr:row>
          <xdr:rowOff>419100</xdr:rowOff>
        </xdr:to>
        <xdr:sp macro="" textlink="">
          <xdr:nvSpPr>
            <xdr:cNvPr id="1033" name="Spinner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8</xdr:row>
          <xdr:rowOff>50800</xdr:rowOff>
        </xdr:from>
        <xdr:to>
          <xdr:col>6</xdr:col>
          <xdr:colOff>774700</xdr:colOff>
          <xdr:row>8</xdr:row>
          <xdr:rowOff>419100</xdr:rowOff>
        </xdr:to>
        <xdr:sp macro="" textlink="">
          <xdr:nvSpPr>
            <xdr:cNvPr id="1034" name="Spinner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9</xdr:row>
          <xdr:rowOff>50800</xdr:rowOff>
        </xdr:from>
        <xdr:to>
          <xdr:col>6</xdr:col>
          <xdr:colOff>774700</xdr:colOff>
          <xdr:row>9</xdr:row>
          <xdr:rowOff>419100</xdr:rowOff>
        </xdr:to>
        <xdr:sp macro="" textlink="">
          <xdr:nvSpPr>
            <xdr:cNvPr id="1035" name="Spinner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381000</xdr:colOff>
          <xdr:row>6</xdr:row>
          <xdr:rowOff>419100</xdr:rowOff>
        </xdr:from>
        <xdr:to>
          <xdr:col>11</xdr:col>
          <xdr:colOff>495300</xdr:colOff>
          <xdr:row>8</xdr:row>
          <xdr:rowOff>76200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Geneva"/>
                  <a:ea typeface="Geneva"/>
                  <a:cs typeface="Geneva"/>
                </a:rPr>
                <a:t>Include Wages in profits?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101600</xdr:colOff>
          <xdr:row>3</xdr:row>
          <xdr:rowOff>88900</xdr:rowOff>
        </xdr:from>
        <xdr:to>
          <xdr:col>12</xdr:col>
          <xdr:colOff>685800</xdr:colOff>
          <xdr:row>3</xdr:row>
          <xdr:rowOff>330200</xdr:rowOff>
        </xdr:to>
        <xdr:sp macro="" textlink="">
          <xdr:nvSpPr>
            <xdr:cNvPr id="1040" name="Drop Dow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698500</xdr:colOff>
          <xdr:row>8</xdr:row>
          <xdr:rowOff>419100</xdr:rowOff>
        </xdr:from>
        <xdr:to>
          <xdr:col>12</xdr:col>
          <xdr:colOff>419100</xdr:colOff>
          <xdr:row>10</xdr:row>
          <xdr:rowOff>38100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Times New Roman"/>
                  <a:ea typeface="Times New Roman"/>
                  <a:cs typeface="Times New Roman"/>
                </a:rPr>
                <a:t>Submit Today's Profits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2:I16" totalsRowShown="0" headerRowDxfId="8" headerRowBorderDxfId="19" tableBorderDxfId="20" totalsRowBorderDxfId="18" headerRowCellStyle="Currency">
  <autoFilter ref="A12:I16"/>
  <tableColumns count="9">
    <tableColumn id="1" name="Week" dataDxfId="17"/>
    <tableColumn id="2" name="Sunday" dataDxfId="16"/>
    <tableColumn id="3" name="Monday" dataDxfId="15"/>
    <tableColumn id="4" name="Tuesday" dataDxfId="14"/>
    <tableColumn id="5" name="Wednesday" dataDxfId="13"/>
    <tableColumn id="6" name="Thursday" dataDxfId="12"/>
    <tableColumn id="7" name="Friday" dataDxfId="11"/>
    <tableColumn id="8" name="Saturday" dataDxfId="10" dataCellStyle="Currency"/>
    <tableColumn id="9" name="Weekly Profits" dataDxfId="9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9.xml"/><Relationship Id="rId12" Type="http://schemas.openxmlformats.org/officeDocument/2006/relationships/table" Target="../tables/table1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7" Type="http://schemas.openxmlformats.org/officeDocument/2006/relationships/ctrlProp" Target="../ctrlProps/ctrlProp5.xml"/><Relationship Id="rId8" Type="http://schemas.openxmlformats.org/officeDocument/2006/relationships/ctrlProp" Target="../ctrlProps/ctrlProp6.xml"/><Relationship Id="rId9" Type="http://schemas.openxmlformats.org/officeDocument/2006/relationships/ctrlProp" Target="../ctrlProps/ctrlProp7.xml"/><Relationship Id="rId10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N44"/>
  <sheetViews>
    <sheetView showGridLines="0" tabSelected="1" showRuler="0" workbookViewId="0">
      <selection activeCell="G3" sqref="G3"/>
    </sheetView>
  </sheetViews>
  <sheetFormatPr baseColWidth="10" defaultRowHeight="15" x14ac:dyDescent="0"/>
  <cols>
    <col min="3" max="3" width="11.6640625" bestFit="1" customWidth="1"/>
    <col min="4" max="4" width="11.33203125" customWidth="1"/>
    <col min="5" max="5" width="14.1640625" customWidth="1"/>
    <col min="6" max="6" width="11.1640625" customWidth="1"/>
    <col min="8" max="8" width="11.83203125" customWidth="1"/>
    <col min="9" max="9" width="16.5" customWidth="1"/>
    <col min="10" max="10" width="13" bestFit="1" customWidth="1"/>
    <col min="11" max="11" width="11.1640625" bestFit="1" customWidth="1"/>
  </cols>
  <sheetData>
    <row r="1" spans="1:14" ht="36" customHeight="1" thickBot="1">
      <c r="A1" s="8" t="s">
        <v>16</v>
      </c>
    </row>
    <row r="2" spans="1:14" ht="36" customHeight="1" thickBot="1">
      <c r="A2" s="8" t="s">
        <v>17</v>
      </c>
      <c r="B2" s="1"/>
      <c r="C2" s="2" t="s">
        <v>0</v>
      </c>
      <c r="D2" s="3"/>
      <c r="E2" s="3"/>
      <c r="F2" s="3"/>
      <c r="G2" s="3"/>
      <c r="H2" s="4"/>
    </row>
    <row r="3" spans="1:14" ht="36" customHeight="1" thickBot="1">
      <c r="A3" s="8" t="s">
        <v>18</v>
      </c>
      <c r="J3" s="65" t="s">
        <v>11</v>
      </c>
      <c r="K3" s="66"/>
      <c r="L3" s="33" t="s">
        <v>23</v>
      </c>
      <c r="M3" s="34"/>
      <c r="N3" s="37" t="s">
        <v>15</v>
      </c>
    </row>
    <row r="4" spans="1:14" ht="36" customHeight="1" thickBot="1">
      <c r="A4" s="8" t="s">
        <v>19</v>
      </c>
      <c r="C4" s="11" t="s">
        <v>1</v>
      </c>
      <c r="D4" s="11" t="s">
        <v>2</v>
      </c>
      <c r="E4" s="11" t="s">
        <v>3</v>
      </c>
      <c r="F4" s="14" t="s">
        <v>9</v>
      </c>
      <c r="G4" s="15"/>
      <c r="H4" s="10" t="s">
        <v>4</v>
      </c>
      <c r="J4" s="63">
        <f>SUM(H5:H11)-(IF(L9,1,0)*M7*M6)</f>
        <v>182.62999999999994</v>
      </c>
      <c r="K4" s="64"/>
      <c r="L4" s="35"/>
      <c r="M4" s="36"/>
      <c r="N4" s="62">
        <v>2</v>
      </c>
    </row>
    <row r="5" spans="1:14" ht="36" customHeight="1" thickBot="1">
      <c r="A5" s="8" t="s">
        <v>20</v>
      </c>
      <c r="C5" s="23" t="s">
        <v>5</v>
      </c>
      <c r="D5" s="24">
        <v>0.85</v>
      </c>
      <c r="E5" s="24">
        <v>3.5</v>
      </c>
      <c r="F5" s="25">
        <v>48</v>
      </c>
      <c r="G5" s="26"/>
      <c r="H5" s="27">
        <f>(E5-D5)*F5</f>
        <v>127.19999999999999</v>
      </c>
    </row>
    <row r="6" spans="1:14" ht="36" customHeight="1">
      <c r="A6" s="8" t="s">
        <v>21</v>
      </c>
      <c r="C6" s="28" t="s">
        <v>6</v>
      </c>
      <c r="D6" s="29">
        <v>0.54</v>
      </c>
      <c r="E6" s="29">
        <v>2</v>
      </c>
      <c r="F6" s="30">
        <v>28</v>
      </c>
      <c r="G6" s="31"/>
      <c r="H6" s="32">
        <f t="shared" ref="H6:H10" si="0">(E6-D6)*F6</f>
        <v>40.879999999999995</v>
      </c>
      <c r="J6" s="40" t="s">
        <v>14</v>
      </c>
      <c r="K6" s="41"/>
      <c r="L6" s="41"/>
      <c r="M6" s="42">
        <v>8.75</v>
      </c>
    </row>
    <row r="7" spans="1:14" ht="36" customHeight="1">
      <c r="A7" s="8" t="s">
        <v>22</v>
      </c>
      <c r="C7" s="28" t="s">
        <v>7</v>
      </c>
      <c r="D7" s="29">
        <v>0.64</v>
      </c>
      <c r="E7" s="29">
        <v>3</v>
      </c>
      <c r="F7" s="30">
        <v>22</v>
      </c>
      <c r="G7" s="31"/>
      <c r="H7" s="32">
        <f t="shared" si="0"/>
        <v>51.919999999999995</v>
      </c>
      <c r="J7" s="43" t="s">
        <v>13</v>
      </c>
      <c r="K7" s="44"/>
      <c r="L7" s="44"/>
      <c r="M7" s="45">
        <v>28</v>
      </c>
    </row>
    <row r="8" spans="1:14" ht="36" customHeight="1" thickBot="1">
      <c r="C8" s="28" t="s">
        <v>8</v>
      </c>
      <c r="D8" s="29">
        <v>0.32</v>
      </c>
      <c r="E8" s="29">
        <v>1.5</v>
      </c>
      <c r="F8" s="30">
        <v>42</v>
      </c>
      <c r="G8" s="31"/>
      <c r="H8" s="32">
        <f t="shared" si="0"/>
        <v>49.559999999999995</v>
      </c>
      <c r="J8" s="35"/>
      <c r="K8" s="38"/>
      <c r="L8" s="38"/>
      <c r="M8" s="39">
        <f>M7*M6</f>
        <v>245</v>
      </c>
    </row>
    <row r="9" spans="1:14" ht="36" customHeight="1">
      <c r="C9" s="18" t="s">
        <v>10</v>
      </c>
      <c r="D9" s="19">
        <f>D8+D6+D5</f>
        <v>1.71</v>
      </c>
      <c r="E9" s="19">
        <v>6.5</v>
      </c>
      <c r="F9" s="20">
        <v>33</v>
      </c>
      <c r="G9" s="21"/>
      <c r="H9" s="22">
        <f t="shared" si="0"/>
        <v>158.07</v>
      </c>
      <c r="L9" s="8" t="b">
        <v>1</v>
      </c>
    </row>
    <row r="10" spans="1:14" ht="36" customHeight="1" thickBot="1">
      <c r="C10" s="12" t="s">
        <v>12</v>
      </c>
      <c r="D10" s="13"/>
      <c r="E10" s="13"/>
      <c r="F10" s="16">
        <v>0</v>
      </c>
      <c r="G10" s="17"/>
      <c r="H10" s="9">
        <f t="shared" si="0"/>
        <v>0</v>
      </c>
    </row>
    <row r="11" spans="1:14" ht="36" customHeight="1">
      <c r="A11" s="67">
        <v>2</v>
      </c>
      <c r="D11" s="5"/>
      <c r="E11" s="5"/>
      <c r="F11" s="6"/>
      <c r="H11" s="5"/>
    </row>
    <row r="12" spans="1:14" ht="36" customHeight="1">
      <c r="A12" s="52" t="s">
        <v>15</v>
      </c>
      <c r="B12" s="53" t="s">
        <v>16</v>
      </c>
      <c r="C12" s="53" t="s">
        <v>17</v>
      </c>
      <c r="D12" s="54" t="s">
        <v>18</v>
      </c>
      <c r="E12" s="54" t="s">
        <v>19</v>
      </c>
      <c r="F12" s="55" t="s">
        <v>20</v>
      </c>
      <c r="G12" s="55" t="s">
        <v>21</v>
      </c>
      <c r="H12" s="54" t="s">
        <v>22</v>
      </c>
      <c r="I12" s="56" t="s">
        <v>24</v>
      </c>
    </row>
    <row r="13" spans="1:14" ht="36" customHeight="1">
      <c r="A13" s="50">
        <v>1</v>
      </c>
      <c r="B13" s="46">
        <v>175.33</v>
      </c>
      <c r="C13" s="46">
        <v>190.51</v>
      </c>
      <c r="D13" s="47">
        <v>182.63</v>
      </c>
      <c r="E13" s="47">
        <v>-7.89</v>
      </c>
      <c r="F13" s="48">
        <v>176.51</v>
      </c>
      <c r="G13" s="46">
        <v>511.01</v>
      </c>
      <c r="H13" s="47">
        <v>175.33</v>
      </c>
      <c r="I13" s="51">
        <f>SUM(B13:H13)</f>
        <v>1403.4299999999998</v>
      </c>
    </row>
    <row r="14" spans="1:14" ht="36" customHeight="1">
      <c r="A14" s="50">
        <v>2</v>
      </c>
      <c r="B14" s="46">
        <v>182.63</v>
      </c>
      <c r="C14" s="46"/>
      <c r="D14" s="46"/>
      <c r="E14" s="46"/>
      <c r="F14" s="49"/>
      <c r="G14" s="46"/>
      <c r="H14" s="47"/>
      <c r="I14" s="51"/>
    </row>
    <row r="15" spans="1:14" ht="36" customHeight="1">
      <c r="A15" s="50">
        <v>3</v>
      </c>
      <c r="B15" s="46"/>
      <c r="C15" s="46"/>
      <c r="D15" s="46"/>
      <c r="E15" s="46"/>
      <c r="F15" s="49"/>
      <c r="G15" s="46"/>
      <c r="H15" s="47"/>
      <c r="I15" s="51"/>
    </row>
    <row r="16" spans="1:14" ht="36" customHeight="1">
      <c r="A16" s="57">
        <v>4</v>
      </c>
      <c r="B16" s="58"/>
      <c r="C16" s="58"/>
      <c r="D16" s="58"/>
      <c r="E16" s="58"/>
      <c r="F16" s="59"/>
      <c r="G16" s="58"/>
      <c r="H16" s="60"/>
      <c r="I16" s="61"/>
    </row>
    <row r="17" spans="6:6" ht="36" customHeight="1">
      <c r="F17" s="7"/>
    </row>
    <row r="18" spans="6:6" ht="36" customHeight="1">
      <c r="F18" s="7"/>
    </row>
    <row r="19" spans="6:6" ht="36" customHeight="1">
      <c r="F19" s="7"/>
    </row>
    <row r="20" spans="6:6" ht="36" customHeight="1">
      <c r="F20" s="7"/>
    </row>
    <row r="21" spans="6:6" ht="36" customHeight="1">
      <c r="F21" s="7"/>
    </row>
    <row r="22" spans="6:6" ht="36" customHeight="1">
      <c r="F22" s="7"/>
    </row>
    <row r="23" spans="6:6" ht="36" customHeight="1"/>
    <row r="24" spans="6:6" ht="36" customHeight="1"/>
    <row r="25" spans="6:6" ht="36" customHeight="1"/>
    <row r="26" spans="6:6" ht="36" customHeight="1"/>
    <row r="27" spans="6:6" ht="36" customHeight="1"/>
    <row r="28" spans="6:6" ht="36" customHeight="1"/>
    <row r="29" spans="6:6" ht="36" customHeight="1"/>
    <row r="30" spans="6:6" ht="36" customHeight="1"/>
    <row r="31" spans="6:6" ht="36" customHeight="1"/>
    <row r="32" spans="6:6" ht="36" customHeight="1"/>
    <row r="33" ht="36" customHeight="1"/>
    <row r="34" ht="36" customHeight="1"/>
    <row r="35" ht="36" customHeight="1"/>
    <row r="36" ht="36" customHeight="1"/>
    <row r="37" ht="36" customHeight="1"/>
    <row r="38" ht="36" customHeight="1"/>
    <row r="39" ht="36" customHeight="1"/>
    <row r="40" ht="36" customHeight="1"/>
    <row r="41" ht="36" customHeight="1"/>
    <row r="42" ht="36" customHeight="1"/>
    <row r="43" ht="36" customHeight="1"/>
    <row r="44" ht="36" customHeight="1"/>
  </sheetData>
  <mergeCells count="9">
    <mergeCell ref="J8:L8"/>
    <mergeCell ref="L4:M4"/>
    <mergeCell ref="L3:M3"/>
    <mergeCell ref="J3:K3"/>
    <mergeCell ref="J4:K4"/>
    <mergeCell ref="F4:G4"/>
    <mergeCell ref="C2:H2"/>
    <mergeCell ref="J7:L7"/>
    <mergeCell ref="J6:L6"/>
  </mergeCells>
  <conditionalFormatting sqref="J4">
    <cfRule type="cellIs" dxfId="7" priority="7" operator="lessThan">
      <formula>0</formula>
    </cfRule>
    <cfRule type="cellIs" dxfId="6" priority="8" operator="greaterThan">
      <formula>0</formula>
    </cfRule>
  </conditionalFormatting>
  <conditionalFormatting sqref="H5:H9">
    <cfRule type="top10" dxfId="5" priority="5" bottom="1" rank="1"/>
    <cfRule type="top10" dxfId="4" priority="6" rank="1"/>
  </conditionalFormatting>
  <conditionalFormatting sqref="F5:F9">
    <cfRule type="top10" dxfId="3" priority="3" bottom="1" rank="1"/>
    <cfRule type="top10" dxfId="2" priority="4" rank="1"/>
  </conditionalFormatting>
  <conditionalFormatting sqref="B13:I16">
    <cfRule type="cellIs" dxfId="1" priority="2" operator="greaterThan">
      <formula>0</formula>
    </cfRule>
    <cfRule type="cellIs" dxfId="0" priority="1" operator="lessThan">
      <formula>0</formula>
    </cfRule>
  </conditionalFormatting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Spinner 6">
              <controlPr defaultSize="0" autoPict="0">
                <anchor moveWithCells="1" sizeWithCells="1">
                  <from>
                    <xdr:col>6</xdr:col>
                    <xdr:colOff>50800</xdr:colOff>
                    <xdr:row>4</xdr:row>
                    <xdr:rowOff>50800</xdr:rowOff>
                  </from>
                  <to>
                    <xdr:col>6</xdr:col>
                    <xdr:colOff>774700</xdr:colOff>
                    <xdr:row>4</xdr:row>
                    <xdr:rowOff>419100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1" r:id="rId4" name="Spinner 7">
              <controlPr defaultSize="0" autoPict="0">
                <anchor moveWithCells="1" sizeWithCells="1">
                  <from>
                    <xdr:col>6</xdr:col>
                    <xdr:colOff>50800</xdr:colOff>
                    <xdr:row>5</xdr:row>
                    <xdr:rowOff>50800</xdr:rowOff>
                  </from>
                  <to>
                    <xdr:col>6</xdr:col>
                    <xdr:colOff>774700</xdr:colOff>
                    <xdr:row>5</xdr:row>
                    <xdr:rowOff>419100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2" r:id="rId5" name="Spinner 8">
              <controlPr defaultSize="0" autoPict="0">
                <anchor moveWithCells="1" sizeWithCells="1">
                  <from>
                    <xdr:col>6</xdr:col>
                    <xdr:colOff>50800</xdr:colOff>
                    <xdr:row>6</xdr:row>
                    <xdr:rowOff>50800</xdr:rowOff>
                  </from>
                  <to>
                    <xdr:col>6</xdr:col>
                    <xdr:colOff>774700</xdr:colOff>
                    <xdr:row>6</xdr:row>
                    <xdr:rowOff>419100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3" r:id="rId6" name="Spinner 9">
              <controlPr defaultSize="0" autoPict="0">
                <anchor moveWithCells="1" sizeWithCells="1">
                  <from>
                    <xdr:col>6</xdr:col>
                    <xdr:colOff>50800</xdr:colOff>
                    <xdr:row>7</xdr:row>
                    <xdr:rowOff>50800</xdr:rowOff>
                  </from>
                  <to>
                    <xdr:col>6</xdr:col>
                    <xdr:colOff>774700</xdr:colOff>
                    <xdr:row>7</xdr:row>
                    <xdr:rowOff>419100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4" r:id="rId7" name="Spinner 10">
              <controlPr defaultSize="0" autoPict="0">
                <anchor moveWithCells="1" sizeWithCells="1">
                  <from>
                    <xdr:col>6</xdr:col>
                    <xdr:colOff>50800</xdr:colOff>
                    <xdr:row>8</xdr:row>
                    <xdr:rowOff>50800</xdr:rowOff>
                  </from>
                  <to>
                    <xdr:col>6</xdr:col>
                    <xdr:colOff>774700</xdr:colOff>
                    <xdr:row>8</xdr:row>
                    <xdr:rowOff>419100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5" r:id="rId8" name="Spinner 11">
              <controlPr defaultSize="0" autoPict="0">
                <anchor moveWithCells="1" sizeWithCells="1">
                  <from>
                    <xdr:col>6</xdr:col>
                    <xdr:colOff>50800</xdr:colOff>
                    <xdr:row>9</xdr:row>
                    <xdr:rowOff>50800</xdr:rowOff>
                  </from>
                  <to>
                    <xdr:col>6</xdr:col>
                    <xdr:colOff>774700</xdr:colOff>
                    <xdr:row>9</xdr:row>
                    <xdr:rowOff>419100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9" r:id="rId9" name="Check Box 15">
              <controlPr defaultSize="0" autoFill="0" autoLine="0" autoPict="0">
                <anchor moveWithCells="1">
                  <from>
                    <xdr:col>9</xdr:col>
                    <xdr:colOff>381000</xdr:colOff>
                    <xdr:row>6</xdr:row>
                    <xdr:rowOff>419100</xdr:rowOff>
                  </from>
                  <to>
                    <xdr:col>11</xdr:col>
                    <xdr:colOff>495300</xdr:colOff>
                    <xdr:row>8</xdr:row>
                    <xdr:rowOff>76200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40" r:id="rId10" name="Drop Down 16">
              <controlPr defaultSize="0" autoLine="0" autoPict="0">
                <anchor moveWithCells="1">
                  <from>
                    <xdr:col>11</xdr:col>
                    <xdr:colOff>101600</xdr:colOff>
                    <xdr:row>3</xdr:row>
                    <xdr:rowOff>88900</xdr:rowOff>
                  </from>
                  <to>
                    <xdr:col>12</xdr:col>
                    <xdr:colOff>685800</xdr:colOff>
                    <xdr:row>3</xdr:row>
                    <xdr:rowOff>330200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42" r:id="rId11" name="Button 18">
              <controlPr defaultSize="0" print="0" autoFill="0" autoPict="0" macro="[0]!sbWriteIntoCellData">
                <anchor moveWithCells="1" sizeWithCells="1">
                  <from>
                    <xdr:col>9</xdr:col>
                    <xdr:colOff>698500</xdr:colOff>
                    <xdr:row>8</xdr:row>
                    <xdr:rowOff>419100</xdr:rowOff>
                  </from>
                  <to>
                    <xdr:col>12</xdr:col>
                    <xdr:colOff>419100</xdr:colOff>
                    <xdr:row>10</xdr:row>
                    <xdr:rowOff>38100</xdr:rowOff>
                  </to>
                </anchor>
              </controlPr>
            </control>
          </mc:Choice>
          <mc:Fallback/>
        </mc:AlternateContent>
      </controls>
    </mc:Choice>
    <mc:Fallback/>
  </mc:AlternateContent>
  <tableParts count="1">
    <tablePart r:id="rId12"/>
  </tableParts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Sabrina Gonzalez</dc:creator>
  <cp:lastModifiedBy>Sabrina Gonzalez</cp:lastModifiedBy>
  <dcterms:created xsi:type="dcterms:W3CDTF">2017-03-22T19:02:43Z</dcterms:created>
  <dcterms:modified xsi:type="dcterms:W3CDTF">2017-03-22T21:34:39Z</dcterms:modified>
</cp:coreProperties>
</file>